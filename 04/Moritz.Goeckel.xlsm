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20" windowWidth="13980" windowHeight="10620"/>
  </bookViews>
  <sheets>
    <sheet name="Artikel" sheetId="1" r:id="rId1"/>
    <sheet name="Einstufung" sheetId="2" r:id="rId2"/>
    <sheet name="Lagerkosten" sheetId="3" r:id="rId3"/>
    <sheet name="Artikel_Filter" sheetId="4" r:id="rId4"/>
    <sheet name="Testprojekt" sheetId="7" r:id="rId5"/>
    <sheet name="Solver" sheetId="6" r:id="rId6"/>
  </sheets>
  <definedNames>
    <definedName name="_xlnm._FilterDatabase" localSheetId="0" hidden="1">Artikel!$A$2:$K$14</definedName>
    <definedName name="_xlnm._FilterDatabase" localSheetId="3" hidden="1">Artikel_Filter!$A$2:$F$14</definedName>
    <definedName name="_xlnm.Criteria" localSheetId="3">Artikel_Filter!$A$17:$C$19</definedName>
    <definedName name="_xlnm.Extract" localSheetId="3">Artikel_Filter!$A$22:$F$28</definedName>
    <definedName name="solver_adj" localSheetId="5" hidden="1">Solver!$B$2:$B$4</definedName>
    <definedName name="solver_cvg" localSheetId="5" hidden="1">0.0001</definedName>
    <definedName name="solver_drv" localSheetId="5" hidden="1">1</definedName>
    <definedName name="solver_eng" localSheetId="5" hidden="1">3</definedName>
    <definedName name="solver_est" localSheetId="5" hidden="1">1</definedName>
    <definedName name="solver_itr" localSheetId="5" hidden="1">2147483647</definedName>
    <definedName name="solver_lhs1" localSheetId="5" hidden="1">Solver!$B$2:$B$4</definedName>
    <definedName name="solver_lhs2" localSheetId="5" hidden="1">Solver!$B$2:$B$4</definedName>
    <definedName name="solver_lhs3" localSheetId="5" hidden="1">Solver!$B$2:$B$4</definedName>
    <definedName name="solver_lhs4" localSheetId="5" hidden="1">Solver!$D$7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4</definedName>
    <definedName name="solver_nwt" localSheetId="5" hidden="1">1</definedName>
    <definedName name="solver_opt" localSheetId="5" hidden="1">Solver!$C$7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2" localSheetId="5" hidden="1">4</definedName>
    <definedName name="solver_rel3" localSheetId="5" hidden="1">3</definedName>
    <definedName name="solver_rel4" localSheetId="5" hidden="1">2</definedName>
    <definedName name="solver_rhs1" localSheetId="5" hidden="1">1000</definedName>
    <definedName name="solver_rhs2" localSheetId="5" hidden="1">integer</definedName>
    <definedName name="solver_rhs3" localSheetId="5" hidden="1">1</definedName>
    <definedName name="solver_rhs4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45621"/>
</workbook>
</file>

<file path=xl/calcChain.xml><?xml version="1.0" encoding="utf-8"?>
<calcChain xmlns="http://schemas.openxmlformats.org/spreadsheetml/2006/main">
  <c r="C16" i="6" l="1"/>
  <c r="D13" i="6" s="1"/>
  <c r="C13" i="6"/>
  <c r="C3" i="6"/>
  <c r="C4" i="6"/>
  <c r="C2" i="6"/>
  <c r="D8" i="7"/>
  <c r="D9" i="7"/>
  <c r="D10" i="7"/>
  <c r="D7" i="7"/>
  <c r="A18" i="4"/>
  <c r="A19" i="4"/>
  <c r="F4" i="4"/>
  <c r="F5" i="4"/>
  <c r="F6" i="4"/>
  <c r="F7" i="4"/>
  <c r="F8" i="4"/>
  <c r="F9" i="4"/>
  <c r="F10" i="4"/>
  <c r="F11" i="4"/>
  <c r="F12" i="4"/>
  <c r="F13" i="4"/>
  <c r="F14" i="4"/>
  <c r="F3" i="4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3" i="1"/>
  <c r="E3" i="1" s="1"/>
  <c r="J4" i="1"/>
  <c r="J5" i="1"/>
  <c r="J6" i="1"/>
  <c r="J7" i="1"/>
  <c r="J8" i="1"/>
  <c r="J9" i="1"/>
  <c r="J10" i="1"/>
  <c r="J11" i="1"/>
  <c r="J12" i="1"/>
  <c r="J13" i="1"/>
  <c r="J14" i="1"/>
  <c r="J3" i="1"/>
  <c r="D7" i="6" l="1"/>
  <c r="C7" i="6"/>
  <c r="K3" i="1"/>
  <c r="K9" i="1"/>
  <c r="K8" i="1"/>
  <c r="K13" i="1"/>
  <c r="K5" i="1"/>
  <c r="K12" i="1"/>
  <c r="K4" i="1"/>
  <c r="K11" i="1"/>
  <c r="K7" i="1"/>
  <c r="K14" i="1"/>
  <c r="K10" i="1"/>
  <c r="K6" i="1"/>
  <c r="F2" i="7"/>
  <c r="G2" i="7"/>
  <c r="H2" i="7"/>
  <c r="I2" i="7"/>
  <c r="J2" i="7" s="1"/>
  <c r="K2" i="7" s="1"/>
  <c r="L2" i="7" s="1"/>
  <c r="M2" i="7" s="1"/>
  <c r="N2" i="7" s="1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K16" i="1" l="1"/>
</calcChain>
</file>

<file path=xl/sharedStrings.xml><?xml version="1.0" encoding="utf-8"?>
<sst xmlns="http://schemas.openxmlformats.org/spreadsheetml/2006/main" count="115" uniqueCount="77">
  <si>
    <t>Einstufung:</t>
  </si>
  <si>
    <t>Kategorie</t>
  </si>
  <si>
    <t>Art1</t>
  </si>
  <si>
    <t>Art2</t>
  </si>
  <si>
    <t>Art3</t>
  </si>
  <si>
    <t>Art4</t>
  </si>
  <si>
    <t>Art5</t>
  </si>
  <si>
    <t>Art6</t>
  </si>
  <si>
    <t>Art7</t>
  </si>
  <si>
    <t>Art8</t>
  </si>
  <si>
    <t>Art9</t>
  </si>
  <si>
    <t>Art10</t>
  </si>
  <si>
    <t>Art11</t>
  </si>
  <si>
    <t>Art12</t>
  </si>
  <si>
    <t>Artikelname:</t>
  </si>
  <si>
    <t>Kategorie:</t>
  </si>
  <si>
    <t>Hergestellt am:</t>
  </si>
  <si>
    <t>Anzahl Tage:</t>
  </si>
  <si>
    <t>Tage alt</t>
  </si>
  <si>
    <t>zu jung</t>
  </si>
  <si>
    <t>ausreichend</t>
  </si>
  <si>
    <t>sehr gut</t>
  </si>
  <si>
    <t>gut</t>
  </si>
  <si>
    <t>schlecht</t>
  </si>
  <si>
    <t>zu verbrauchen in:</t>
  </si>
  <si>
    <t>Jahren</t>
  </si>
  <si>
    <t>Monaten</t>
  </si>
  <si>
    <t>Tage</t>
  </si>
  <si>
    <t>Stunden</t>
  </si>
  <si>
    <t>Ablaufdatum</t>
  </si>
  <si>
    <t>Tage:</t>
  </si>
  <si>
    <t>Kosten/Tag:</t>
  </si>
  <si>
    <t>Lagerkosten:</t>
  </si>
  <si>
    <t>Summe:</t>
  </si>
  <si>
    <t>tats. Vorrat</t>
  </si>
  <si>
    <t>Mindestvorrat</t>
  </si>
  <si>
    <t>Status</t>
  </si>
  <si>
    <t>Artikelname</t>
  </si>
  <si>
    <t>Hergestellt am</t>
  </si>
  <si>
    <t>Start:</t>
  </si>
  <si>
    <t>Dauer</t>
  </si>
  <si>
    <t>Ende</t>
  </si>
  <si>
    <t>Vorgänge:</t>
  </si>
  <si>
    <t>h</t>
  </si>
  <si>
    <t>min</t>
  </si>
  <si>
    <t>V1</t>
  </si>
  <si>
    <t>V2</t>
  </si>
  <si>
    <t>V3</t>
  </si>
  <si>
    <t>V4</t>
  </si>
  <si>
    <t>Vorname</t>
  </si>
  <si>
    <t>Nachname</t>
  </si>
  <si>
    <t>Datum</t>
  </si>
  <si>
    <t>Uhrzeit</t>
  </si>
  <si>
    <t>K1</t>
  </si>
  <si>
    <t>K2</t>
  </si>
  <si>
    <t>K4</t>
  </si>
  <si>
    <t>K5</t>
  </si>
  <si>
    <t>K6</t>
  </si>
  <si>
    <t>K8</t>
  </si>
  <si>
    <t>K9</t>
  </si>
  <si>
    <t>K10</t>
  </si>
  <si>
    <t>&gt;100</t>
  </si>
  <si>
    <t>&lt;1000</t>
  </si>
  <si>
    <t>ok</t>
  </si>
  <si>
    <t>Achtung bestellen!</t>
  </si>
  <si>
    <t>Versorgungsengpass!</t>
  </si>
  <si>
    <t>Start</t>
  </si>
  <si>
    <t>Anzahl Tauschs (Variabel)</t>
  </si>
  <si>
    <t>Benötigte Zeit (Minimum)</t>
  </si>
  <si>
    <t>Austausch Stunden</t>
  </si>
  <si>
    <t>Benötigte Zeit Stunden</t>
  </si>
  <si>
    <t>Difference (Condition=0)</t>
  </si>
  <si>
    <t>Tatsächliches Ende</t>
  </si>
  <si>
    <t>Ende wenn gelöst</t>
  </si>
  <si>
    <t>Ende abbruch (7 Tage)</t>
  </si>
  <si>
    <t>Moritz</t>
  </si>
  <si>
    <t>Göckel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</si>
</sst>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\ hh:mm:ss"/>
    <numFmt numFmtId="165" formatCode="#,##0.00\ &quot;€&quot;"/>
    <numFmt numFmtId="166" formatCode="[$-F400]h:mm:ss\ AM/PM"/>
    <numFmt numFmtId="167" formatCode="0.000000000000"/>
  </numFmts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4">
    <xf numFmtId="0" fontId="0" fillId="0" borderId="0" xfId="0"/>
    <xf numFmtId="0" fontId="0" fillId="0" borderId="1" xfId="0" applyBorder="1"/>
    <xf numFmtId="14" fontId="0" fillId="0" borderId="1" xfId="0" applyNumberFormat="1" applyBorder="1"/>
    <xf numFmtId="1" fontId="0" fillId="0" borderId="1" xfId="0" applyNumberFormat="1" applyBorder="1"/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Border="1"/>
    <xf numFmtId="165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Border="1"/>
    <xf numFmtId="0" fontId="0" fillId="0" borderId="0" xfId="0" applyFill="1" applyBorder="1"/>
    <xf numFmtId="14" fontId="0" fillId="0" borderId="0" xfId="0" applyNumberFormat="1" applyBorder="1"/>
    <xf numFmtId="1" fontId="0" fillId="0" borderId="0" xfId="0" applyNumberFormat="1" applyBorder="1"/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center"/>
    </xf>
    <xf numFmtId="164" fontId="0" fillId="0" borderId="0" xfId="0" applyNumberFormat="1" applyBorder="1"/>
    <xf numFmtId="0" fontId="0" fillId="0" borderId="2" xfId="0" applyFill="1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Border="1"/>
    <xf numFmtId="0" fontId="2" fillId="0" borderId="1" xfId="0" applyFont="1" applyBorder="1"/>
    <xf numFmtId="0" fontId="2" fillId="0" borderId="0" xfId="1"/>
    <xf numFmtId="167" fontId="2" fillId="0" borderId="0" xfId="1" applyNumberFormat="1"/>
    <xf numFmtId="20" fontId="2" fillId="0" borderId="0" xfId="1" applyNumberFormat="1"/>
    <xf numFmtId="166" fontId="2" fillId="0" borderId="0" xfId="1" applyNumberFormat="1"/>
    <xf numFmtId="0" fontId="2" fillId="0" borderId="0" xfId="1" applyFill="1"/>
    <xf numFmtId="0" fontId="2" fillId="0" borderId="0" xfId="1" applyFont="1" applyFill="1"/>
    <xf numFmtId="0" fontId="2" fillId="0" borderId="19" xfId="1" applyBorder="1" applyAlignment="1">
      <alignment horizontal="center"/>
    </xf>
    <xf numFmtId="0" fontId="2" fillId="0" borderId="8" xfId="1" applyBorder="1" applyAlignment="1">
      <alignment horizontal="center"/>
    </xf>
    <xf numFmtId="0" fontId="2" fillId="0" borderId="7" xfId="1" applyFont="1" applyBorder="1"/>
    <xf numFmtId="0" fontId="2" fillId="0" borderId="20" xfId="1" applyBorder="1" applyAlignment="1">
      <alignment horizontal="center"/>
    </xf>
    <xf numFmtId="0" fontId="2" fillId="0" borderId="1" xfId="1" applyBorder="1" applyAlignment="1">
      <alignment horizontal="center"/>
    </xf>
    <xf numFmtId="0" fontId="2" fillId="0" borderId="18" xfId="1" applyFont="1" applyBorder="1"/>
    <xf numFmtId="0" fontId="2" fillId="0" borderId="21" xfId="1" applyBorder="1"/>
    <xf numFmtId="22" fontId="2" fillId="0" borderId="22" xfId="1" applyNumberFormat="1" applyBorder="1"/>
    <xf numFmtId="0" fontId="2" fillId="0" borderId="23" xfId="1" applyBorder="1" applyAlignment="1">
      <alignment horizontal="center"/>
    </xf>
    <xf numFmtId="0" fontId="2" fillId="0" borderId="4" xfId="1" applyBorder="1" applyAlignment="1">
      <alignment horizontal="center"/>
    </xf>
    <xf numFmtId="0" fontId="2" fillId="0" borderId="3" xfId="1" applyFont="1" applyBorder="1"/>
    <xf numFmtId="0" fontId="2" fillId="0" borderId="11" xfId="1" applyBorder="1"/>
    <xf numFmtId="0" fontId="2" fillId="0" borderId="0" xfId="1" applyBorder="1"/>
    <xf numFmtId="0" fontId="2" fillId="0" borderId="10" xfId="1" applyBorder="1"/>
    <xf numFmtId="0" fontId="2" fillId="0" borderId="24" xfId="1" applyFont="1" applyBorder="1"/>
    <xf numFmtId="0" fontId="2" fillId="0" borderId="8" xfId="1" applyFont="1" applyBorder="1" applyAlignment="1">
      <alignment horizontal="center"/>
    </xf>
    <xf numFmtId="0" fontId="2" fillId="0" borderId="17" xfId="1" applyBorder="1"/>
    <xf numFmtId="0" fontId="2" fillId="0" borderId="16" xfId="1" applyBorder="1"/>
    <xf numFmtId="0" fontId="2" fillId="0" borderId="15" xfId="1" applyFont="1" applyBorder="1"/>
    <xf numFmtId="0" fontId="2" fillId="0" borderId="5" xfId="1" applyFont="1" applyBorder="1" applyAlignment="1">
      <alignment horizontal="center"/>
    </xf>
    <xf numFmtId="0" fontId="2" fillId="0" borderId="3" xfId="1" applyBorder="1"/>
    <xf numFmtId="0" fontId="2" fillId="0" borderId="14" xfId="1" applyBorder="1"/>
    <xf numFmtId="0" fontId="2" fillId="0" borderId="13" xfId="1" applyBorder="1"/>
    <xf numFmtId="0" fontId="2" fillId="0" borderId="12" xfId="1" applyBorder="1"/>
    <xf numFmtId="22" fontId="2" fillId="2" borderId="9" xfId="1" applyNumberFormat="1" applyFill="1" applyBorder="1"/>
    <xf numFmtId="20" fontId="2" fillId="0" borderId="8" xfId="1" applyNumberFormat="1" applyBorder="1"/>
    <xf numFmtId="20" fontId="2" fillId="0" borderId="7" xfId="1" applyNumberFormat="1" applyBorder="1"/>
    <xf numFmtId="0" fontId="2" fillId="2" borderId="6" xfId="1" applyFont="1" applyFill="1" applyBorder="1"/>
    <xf numFmtId="0" fontId="2" fillId="0" borderId="0" xfId="1" applyAlignment="1"/>
    <xf numFmtId="0" fontId="0" fillId="3" borderId="0" xfId="0" applyFill="1"/>
    <xf numFmtId="165" fontId="0" fillId="0" borderId="1" xfId="0" applyNumberFormat="1" applyBorder="1"/>
    <xf numFmtId="1" fontId="0" fillId="0" borderId="0" xfId="0" applyNumberFormat="1"/>
    <xf numFmtId="0" fontId="2" fillId="0" borderId="0" xfId="0" applyFont="1"/>
    <xf numFmtId="22" fontId="2" fillId="0" borderId="21" xfId="1" applyNumberFormat="1" applyBorder="1"/>
    <xf numFmtId="22" fontId="0" fillId="0" borderId="0" xfId="0" applyNumberFormat="1"/>
    <xf numFmtId="0" fontId="0" fillId="4" borderId="0" xfId="0" applyFill="1"/>
    <xf numFmtId="0" fontId="2" fillId="0" borderId="2" xfId="0" applyFont="1" applyBorder="1"/>
    <xf numFmtId="22" fontId="0" fillId="0" borderId="25" xfId="0" applyNumberFormat="1" applyBorder="1"/>
    <xf numFmtId="20" fontId="0" fillId="0" borderId="1" xfId="0" applyNumberFormat="1" applyBorder="1"/>
    <xf numFmtId="2" fontId="0" fillId="0" borderId="0" xfId="0" applyNumberFormat="1"/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2" fillId="0" borderId="3" xfId="1" applyNumberFormat="1" applyBorder="1" applyAlignment="1">
      <alignment horizontal="center"/>
    </xf>
    <xf numFmtId="14" fontId="2" fillId="0" borderId="4" xfId="1" applyNumberFormat="1" applyBorder="1" applyAlignment="1">
      <alignment horizontal="center"/>
    </xf>
    <xf numFmtId="14" fontId="2" fillId="0" borderId="5" xfId="1" applyNumberFormat="1" applyBorder="1" applyAlignment="1">
      <alignment horizontal="center"/>
    </xf>
    <xf numFmtId="0" fontId="2" fillId="0" borderId="4" xfId="1" applyFont="1" applyBorder="1" applyAlignment="1">
      <alignment horizontal="center"/>
    </xf>
    <xf numFmtId="0" fontId="2" fillId="0" borderId="4" xfId="1" applyBorder="1" applyAlignment="1">
      <alignment horizontal="center"/>
    </xf>
  </cellXfs>
  <cellStyles count="2">
    <cellStyle name="Normal" xfId="0" builtinId="0"/>
    <cellStyle name="Standard 2" xfId="1"/>
  </cellStyles>
  <dxfs count="25">
    <dxf>
      <font>
        <color rgb="FF92D050"/>
      </font>
    </dxf>
    <dxf>
      <font>
        <color theme="4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color rgb="FF92D050"/>
      </font>
    </dxf>
    <dxf>
      <font>
        <color theme="4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color rgb="FF92D050"/>
      </font>
    </dxf>
    <dxf>
      <font>
        <color theme="4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C000"/>
        </patternFill>
      </fill>
    </dxf>
    <dxf>
      <font>
        <color rgb="FF92D050"/>
      </font>
    </dxf>
    <dxf>
      <font>
        <color theme="4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3" tint="0.59996337778862885"/>
        </patternFill>
      </fill>
    </dxf>
    <dxf>
      <font>
        <color rgb="FF92D050"/>
      </font>
    </dxf>
    <dxf>
      <font>
        <color rgb="FF00B0F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104775</xdr:rowOff>
        </xdr:from>
        <xdr:to>
          <xdr:col>7</xdr:col>
          <xdr:colOff>600075</xdr:colOff>
          <xdr:row>22</xdr:row>
          <xdr:rowOff>76200</xdr:rowOff>
        </xdr:to>
        <xdr:sp macro="" textlink="">
          <xdr:nvSpPr>
            <xdr:cNvPr id="1025" name="B_Formatierun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23"/>
  <sheetViews>
    <sheetView tabSelected="1" workbookViewId="0">
      <selection activeCell="F28" sqref="F28"/>
    </sheetView>
  </sheetViews>
  <sheetFormatPr defaultColWidth="11.42578125" defaultRowHeight="12.75" x14ac:dyDescent="0.2"/>
  <cols>
    <col min="3" max="3" width="13.5703125" bestFit="1" customWidth="1"/>
    <col min="5" max="5" width="15.28515625" bestFit="1" customWidth="1"/>
    <col min="10" max="10" width="18" bestFit="1" customWidth="1"/>
    <col min="11" max="11" width="14.85546875" customWidth="1"/>
  </cols>
  <sheetData>
    <row r="1" spans="1:14" x14ac:dyDescent="0.2">
      <c r="F1" s="67" t="s">
        <v>24</v>
      </c>
      <c r="G1" s="67"/>
      <c r="H1" s="67"/>
      <c r="I1" s="67"/>
    </row>
    <row r="2" spans="1:14" x14ac:dyDescent="0.2">
      <c r="A2" s="1" t="s">
        <v>14</v>
      </c>
      <c r="B2" s="1" t="s">
        <v>15</v>
      </c>
      <c r="C2" s="1" t="s">
        <v>16</v>
      </c>
      <c r="D2" s="1" t="s">
        <v>17</v>
      </c>
      <c r="E2" s="1" t="s">
        <v>0</v>
      </c>
      <c r="F2" s="4" t="s">
        <v>25</v>
      </c>
      <c r="G2" s="4" t="s">
        <v>26</v>
      </c>
      <c r="H2" s="4" t="s">
        <v>27</v>
      </c>
      <c r="I2" s="4" t="s">
        <v>28</v>
      </c>
      <c r="J2" s="5" t="s">
        <v>29</v>
      </c>
      <c r="K2" s="1" t="s">
        <v>32</v>
      </c>
    </row>
    <row r="3" spans="1:14" x14ac:dyDescent="0.2">
      <c r="A3" s="1" t="s">
        <v>2</v>
      </c>
      <c r="B3" s="1">
        <v>1</v>
      </c>
      <c r="C3" s="2">
        <v>42867</v>
      </c>
      <c r="D3" s="3">
        <f t="shared" ref="D3:D14" ca="1" si="0">INT(NOW())-C3</f>
        <v>12</v>
      </c>
      <c r="E3" s="1" t="str">
        <f ca="1">HLOOKUP(D3,Einstufung!$B$2:$D$5,Artikel!B3+1)</f>
        <v>zu jung</v>
      </c>
      <c r="F3" s="1">
        <v>1</v>
      </c>
      <c r="G3" s="1">
        <v>1</v>
      </c>
      <c r="H3" s="1">
        <v>1</v>
      </c>
      <c r="I3" s="1">
        <v>1</v>
      </c>
      <c r="J3" s="6">
        <f t="shared" ref="J3:J14" si="1">C3+365*F3+30*G3+H3+I3/24</f>
        <v>43263.041666666664</v>
      </c>
      <c r="K3" s="57">
        <f ca="1">HLOOKUP(D3,Lagerkosten!$B$1:$F$2,2)*D3</f>
        <v>8.3999999999999986</v>
      </c>
      <c r="L3" s="58"/>
    </row>
    <row r="4" spans="1:14" x14ac:dyDescent="0.2">
      <c r="A4" s="1" t="s">
        <v>3</v>
      </c>
      <c r="B4" s="1">
        <v>3</v>
      </c>
      <c r="C4" s="2">
        <v>42743</v>
      </c>
      <c r="D4" s="3">
        <f t="shared" ca="1" si="0"/>
        <v>136</v>
      </c>
      <c r="E4" s="1" t="str">
        <f ca="1">HLOOKUP(D4,Einstufung!$B$2:$D$5,Artikel!B4+1)</f>
        <v>schlecht</v>
      </c>
      <c r="F4" s="1">
        <v>0</v>
      </c>
      <c r="G4" s="1">
        <v>2</v>
      </c>
      <c r="H4" s="1">
        <v>3</v>
      </c>
      <c r="I4" s="1">
        <v>12</v>
      </c>
      <c r="J4" s="6">
        <f t="shared" si="1"/>
        <v>42806.5</v>
      </c>
      <c r="K4" s="57">
        <f ca="1">HLOOKUP(D4,Lagerkosten!$B$1:$F$2,2)*D4</f>
        <v>652.79999999999995</v>
      </c>
    </row>
    <row r="5" spans="1:14" x14ac:dyDescent="0.2">
      <c r="A5" s="1" t="s">
        <v>4</v>
      </c>
      <c r="B5" s="1">
        <v>2</v>
      </c>
      <c r="C5" s="2">
        <v>42738</v>
      </c>
      <c r="D5" s="3">
        <f t="shared" ca="1" si="0"/>
        <v>141</v>
      </c>
      <c r="E5" s="1" t="str">
        <f ca="1">HLOOKUP(D5,Einstufung!$B$2:$D$5,Artikel!B5+1)</f>
        <v>ausreichend</v>
      </c>
      <c r="F5" s="1">
        <v>0</v>
      </c>
      <c r="G5" s="1">
        <v>1</v>
      </c>
      <c r="H5" s="1">
        <v>2</v>
      </c>
      <c r="I5" s="1">
        <v>21</v>
      </c>
      <c r="J5" s="6">
        <f t="shared" si="1"/>
        <v>42770.875</v>
      </c>
      <c r="K5" s="57">
        <f ca="1">HLOOKUP(D5,Lagerkosten!$B$1:$F$2,2)*D5</f>
        <v>676.8</v>
      </c>
      <c r="N5" s="59"/>
    </row>
    <row r="6" spans="1:14" x14ac:dyDescent="0.2">
      <c r="A6" s="1" t="s">
        <v>5</v>
      </c>
      <c r="B6" s="1">
        <v>2</v>
      </c>
      <c r="C6" s="2">
        <v>42735</v>
      </c>
      <c r="D6" s="3">
        <f t="shared" ca="1" si="0"/>
        <v>144</v>
      </c>
      <c r="E6" s="1" t="str">
        <f ca="1">HLOOKUP(D6,Einstufung!$B$2:$D$5,Artikel!B6+1)</f>
        <v>ausreichend</v>
      </c>
      <c r="F6" s="1">
        <v>2</v>
      </c>
      <c r="G6" s="1">
        <v>2</v>
      </c>
      <c r="H6" s="1">
        <v>0</v>
      </c>
      <c r="I6" s="1">
        <v>0</v>
      </c>
      <c r="J6" s="6">
        <f t="shared" si="1"/>
        <v>43525</v>
      </c>
      <c r="K6" s="57">
        <f ca="1">HLOOKUP(D6,Lagerkosten!$B$1:$F$2,2)*D6</f>
        <v>691.19999999999993</v>
      </c>
    </row>
    <row r="7" spans="1:14" x14ac:dyDescent="0.2">
      <c r="A7" s="1" t="s">
        <v>6</v>
      </c>
      <c r="B7" s="1">
        <v>3</v>
      </c>
      <c r="C7" s="2">
        <v>42794</v>
      </c>
      <c r="D7" s="3">
        <f t="shared" ca="1" si="0"/>
        <v>85</v>
      </c>
      <c r="E7" s="1" t="str">
        <f ca="1">HLOOKUP(D7,Einstufung!$B$2:$D$5,Artikel!B7+1)</f>
        <v>schlecht</v>
      </c>
      <c r="F7" s="1">
        <v>0</v>
      </c>
      <c r="G7" s="1">
        <v>5</v>
      </c>
      <c r="H7" s="1">
        <v>1</v>
      </c>
      <c r="I7" s="1">
        <v>10</v>
      </c>
      <c r="J7" s="6">
        <f t="shared" si="1"/>
        <v>42945.416666666664</v>
      </c>
      <c r="K7" s="57">
        <f ca="1">HLOOKUP(D7,Lagerkosten!$B$1:$F$2,2)*D7</f>
        <v>408</v>
      </c>
    </row>
    <row r="8" spans="1:14" x14ac:dyDescent="0.2">
      <c r="A8" s="1" t="s">
        <v>7</v>
      </c>
      <c r="B8" s="1">
        <v>3</v>
      </c>
      <c r="C8" s="2">
        <v>42802</v>
      </c>
      <c r="D8" s="3">
        <f t="shared" ca="1" si="0"/>
        <v>77</v>
      </c>
      <c r="E8" s="1" t="str">
        <f ca="1">HLOOKUP(D8,Einstufung!$B$2:$D$5,Artikel!B8+1)</f>
        <v>schlecht</v>
      </c>
      <c r="F8" s="1">
        <v>0</v>
      </c>
      <c r="G8" s="1">
        <v>7</v>
      </c>
      <c r="H8" s="1">
        <v>3</v>
      </c>
      <c r="I8" s="1">
        <v>11</v>
      </c>
      <c r="J8" s="6">
        <f t="shared" si="1"/>
        <v>43015.458333333336</v>
      </c>
      <c r="K8" s="57">
        <f ca="1">HLOOKUP(D8,Lagerkosten!$B$1:$F$2,2)*D8</f>
        <v>369.59999999999997</v>
      </c>
    </row>
    <row r="9" spans="1:14" x14ac:dyDescent="0.2">
      <c r="A9" s="1" t="s">
        <v>8</v>
      </c>
      <c r="B9" s="1">
        <v>1</v>
      </c>
      <c r="C9" s="2">
        <v>42572</v>
      </c>
      <c r="D9" s="3">
        <f t="shared" ca="1" si="0"/>
        <v>307</v>
      </c>
      <c r="E9" s="1" t="str">
        <f ca="1">HLOOKUP(D9,Einstufung!$B$2:$D$5,Artikel!B9+1)</f>
        <v>sehr gut</v>
      </c>
      <c r="F9" s="1">
        <v>5</v>
      </c>
      <c r="G9" s="1">
        <v>5</v>
      </c>
      <c r="H9" s="1">
        <v>7</v>
      </c>
      <c r="I9" s="1">
        <v>0</v>
      </c>
      <c r="J9" s="6">
        <f t="shared" si="1"/>
        <v>44554</v>
      </c>
      <c r="K9" s="57">
        <f ca="1">HLOOKUP(D9,Lagerkosten!$B$1:$F$2,2)*D9</f>
        <v>1473.6</v>
      </c>
    </row>
    <row r="10" spans="1:14" x14ac:dyDescent="0.2">
      <c r="A10" s="1" t="s">
        <v>9</v>
      </c>
      <c r="B10" s="1">
        <v>3</v>
      </c>
      <c r="C10" s="2">
        <v>42636</v>
      </c>
      <c r="D10" s="3">
        <f t="shared" ca="1" si="0"/>
        <v>243</v>
      </c>
      <c r="E10" s="1" t="str">
        <f ca="1">HLOOKUP(D10,Einstufung!$B$2:$D$5,Artikel!B10+1)</f>
        <v>schlecht</v>
      </c>
      <c r="F10" s="1">
        <v>0</v>
      </c>
      <c r="G10" s="1">
        <v>4</v>
      </c>
      <c r="H10" s="1">
        <v>0</v>
      </c>
      <c r="I10" s="1">
        <v>10</v>
      </c>
      <c r="J10" s="6">
        <f t="shared" si="1"/>
        <v>42756.416666666664</v>
      </c>
      <c r="K10" s="57">
        <f ca="1">HLOOKUP(D10,Lagerkosten!$B$1:$F$2,2)*D10</f>
        <v>1166.3999999999999</v>
      </c>
    </row>
    <row r="11" spans="1:14" x14ac:dyDescent="0.2">
      <c r="A11" s="1" t="s">
        <v>10</v>
      </c>
      <c r="B11" s="1">
        <v>1</v>
      </c>
      <c r="C11" s="2">
        <v>42737</v>
      </c>
      <c r="D11" s="3">
        <f t="shared" ca="1" si="0"/>
        <v>142</v>
      </c>
      <c r="E11" s="1" t="str">
        <f ca="1">HLOOKUP(D11,Einstufung!$B$2:$D$5,Artikel!B11+1)</f>
        <v>sehr gut</v>
      </c>
      <c r="F11" s="1">
        <v>2</v>
      </c>
      <c r="G11" s="1">
        <v>7</v>
      </c>
      <c r="H11" s="1">
        <v>10</v>
      </c>
      <c r="I11" s="1">
        <v>7</v>
      </c>
      <c r="J11" s="6">
        <f t="shared" si="1"/>
        <v>43687.291666666664</v>
      </c>
      <c r="K11" s="57">
        <f ca="1">HLOOKUP(D11,Lagerkosten!$B$1:$F$2,2)*D11</f>
        <v>681.6</v>
      </c>
    </row>
    <row r="12" spans="1:14" x14ac:dyDescent="0.2">
      <c r="A12" s="1" t="s">
        <v>11</v>
      </c>
      <c r="B12" s="1">
        <v>2</v>
      </c>
      <c r="C12" s="2">
        <v>42742</v>
      </c>
      <c r="D12" s="3">
        <f t="shared" ca="1" si="0"/>
        <v>137</v>
      </c>
      <c r="E12" s="1" t="str">
        <f ca="1">HLOOKUP(D12,Einstufung!$B$2:$D$5,Artikel!B12+1)</f>
        <v>ausreichend</v>
      </c>
      <c r="F12" s="1">
        <v>0</v>
      </c>
      <c r="G12" s="1">
        <v>2</v>
      </c>
      <c r="H12" s="1">
        <v>0</v>
      </c>
      <c r="I12" s="1">
        <v>2</v>
      </c>
      <c r="J12" s="6">
        <f t="shared" si="1"/>
        <v>42802.083333333336</v>
      </c>
      <c r="K12" s="57">
        <f ca="1">HLOOKUP(D12,Lagerkosten!$B$1:$F$2,2)*D12</f>
        <v>657.6</v>
      </c>
    </row>
    <row r="13" spans="1:14" x14ac:dyDescent="0.2">
      <c r="A13" s="1" t="s">
        <v>12</v>
      </c>
      <c r="B13" s="1">
        <v>1</v>
      </c>
      <c r="C13" s="2">
        <v>42863</v>
      </c>
      <c r="D13" s="3">
        <f t="shared" ca="1" si="0"/>
        <v>16</v>
      </c>
      <c r="E13" s="1" t="str">
        <f ca="1">HLOOKUP(D13,Einstufung!$B$2:$D$5,Artikel!B13+1)</f>
        <v>zu jung</v>
      </c>
      <c r="F13" s="1">
        <v>4</v>
      </c>
      <c r="G13" s="1">
        <v>2</v>
      </c>
      <c r="H13" s="1">
        <v>0</v>
      </c>
      <c r="I13" s="1">
        <v>6</v>
      </c>
      <c r="J13" s="6">
        <f t="shared" si="1"/>
        <v>44383.25</v>
      </c>
      <c r="K13" s="57">
        <f ca="1">HLOOKUP(D13,Lagerkosten!$B$1:$F$2,2)*D13</f>
        <v>17.600000000000001</v>
      </c>
    </row>
    <row r="14" spans="1:14" x14ac:dyDescent="0.2">
      <c r="A14" s="1" t="s">
        <v>13</v>
      </c>
      <c r="B14" s="1">
        <v>3</v>
      </c>
      <c r="C14" s="2">
        <v>42748</v>
      </c>
      <c r="D14" s="3">
        <f t="shared" ca="1" si="0"/>
        <v>131</v>
      </c>
      <c r="E14" s="1" t="str">
        <f ca="1">HLOOKUP(D14,Einstufung!$B$2:$D$5,Artikel!B14+1)</f>
        <v>schlecht</v>
      </c>
      <c r="F14" s="1">
        <v>0</v>
      </c>
      <c r="G14" s="1">
        <v>11</v>
      </c>
      <c r="H14" s="1">
        <v>5</v>
      </c>
      <c r="I14" s="1">
        <v>13</v>
      </c>
      <c r="J14" s="6">
        <f t="shared" si="1"/>
        <v>43083.541666666664</v>
      </c>
      <c r="K14" s="57">
        <f ca="1">HLOOKUP(D14,Lagerkosten!$B$1:$F$2,2)*D14</f>
        <v>628.79999999999995</v>
      </c>
    </row>
    <row r="16" spans="1:14" x14ac:dyDescent="0.2">
      <c r="J16" s="9" t="s">
        <v>33</v>
      </c>
      <c r="K16" s="8">
        <f ca="1">SUBTOTAL(9,K3:K14)</f>
        <v>7432.4000000000005</v>
      </c>
    </row>
    <row r="20" spans="1:8" x14ac:dyDescent="0.2">
      <c r="A20" s="18" t="s">
        <v>49</v>
      </c>
      <c r="B20" s="19" t="s">
        <v>50</v>
      </c>
      <c r="C20" s="19" t="s">
        <v>51</v>
      </c>
      <c r="D20" s="19" t="s">
        <v>52</v>
      </c>
      <c r="F20" s="56"/>
      <c r="G20" s="56"/>
      <c r="H20" s="56"/>
    </row>
    <row r="21" spans="1:8" x14ac:dyDescent="0.2">
      <c r="A21" s="59" t="s">
        <v>75</v>
      </c>
      <c r="B21" t="s">
        <v>76</v>
      </c>
      <c r="C21" s="2">
        <v>42879</v>
      </c>
      <c r="D21" s="65">
        <v>0.56666666666666665</v>
      </c>
      <c r="F21" s="56"/>
      <c r="G21" s="56"/>
      <c r="H21" s="56"/>
    </row>
    <row r="22" spans="1:8" x14ac:dyDescent="0.2">
      <c r="F22" s="56"/>
      <c r="G22" s="56"/>
      <c r="H22" s="56"/>
    </row>
    <row r="23" spans="1:8" x14ac:dyDescent="0.2">
      <c r="D23" s="66"/>
      <c r="F23" s="56"/>
      <c r="G23" s="56"/>
      <c r="H23" s="56"/>
    </row>
  </sheetData>
  <autoFilter ref="A2:K14"/>
  <mergeCells count="1">
    <mergeCell ref="F1:I1"/>
  </mergeCells>
  <phoneticPr fontId="0" type="noConversion"/>
  <conditionalFormatting sqref="A20">
    <cfRule type="expression" dxfId="24" priority="39" stopIfTrue="1">
      <formula>C20=MAX($C$3:$C$14)</formula>
    </cfRule>
  </conditionalFormatting>
  <conditionalFormatting sqref="A20">
    <cfRule type="expression" dxfId="23" priority="38" stopIfTrue="1">
      <formula>C20 = MIN($C$3:$C$14)</formula>
    </cfRule>
  </conditionalFormatting>
  <conditionalFormatting sqref="A3:A14">
    <cfRule type="expression" dxfId="22" priority="36">
      <formula>C3=MAX($C$3:$C$14)</formula>
    </cfRule>
    <cfRule type="expression" dxfId="21" priority="37">
      <formula>C3=MIN($C$3:$C$14)</formula>
    </cfRule>
  </conditionalFormatting>
  <conditionalFormatting sqref="C3:C14">
    <cfRule type="colorScale" priority="32">
      <colorScale>
        <cfvo type="min"/>
        <cfvo type="max"/>
        <color rgb="FFFFEF9C"/>
        <color rgb="FF63BE7B"/>
      </colorScale>
    </cfRule>
  </conditionalFormatting>
  <conditionalFormatting sqref="K3:K14">
    <cfRule type="dataBar" priority="3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{4C99C78D-848C-4917-B8E5-98E8A6AAFFDC}</x14:id>
        </ext>
      </extLst>
    </cfRule>
  </conditionalFormatting>
  <conditionalFormatting sqref="A21">
    <cfRule type="expression" dxfId="3" priority="4">
      <formula>COLUMN(INDIRECT(LEFT($A$21,1)&amp;1))&gt;11</formula>
    </cfRule>
    <cfRule type="expression" dxfId="2" priority="3">
      <formula>COLUMN(INDIRECT(LEFT($A$21,1)&amp;1))&lt;=11</formula>
    </cfRule>
  </conditionalFormatting>
  <conditionalFormatting sqref="B21">
    <cfRule type="expression" dxfId="1" priority="2">
      <formula>$D$21&gt;=1/2</formula>
    </cfRule>
    <cfRule type="expression" dxfId="0" priority="1">
      <formula>$D$21&lt;1/2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B_Formatierung">
          <controlPr defaultSize="0" autoLine="0" r:id="rId5">
            <anchor moveWithCells="1">
              <from>
                <xdr:col>5</xdr:col>
                <xdr:colOff>180975</xdr:colOff>
                <xdr:row>19</xdr:row>
                <xdr:rowOff>104775</xdr:rowOff>
              </from>
              <to>
                <xdr:col>7</xdr:col>
                <xdr:colOff>600075</xdr:colOff>
                <xdr:row>22</xdr:row>
                <xdr:rowOff>76200</xdr:rowOff>
              </to>
            </anchor>
          </controlPr>
        </control>
      </mc:Choice>
      <mc:Fallback>
        <control shapeId="1025" r:id="rId4" name="B_Formatierung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99C78D-848C-4917-B8E5-98E8A6AAFF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K3:K14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5"/>
  <sheetViews>
    <sheetView workbookViewId="0">
      <selection activeCell="H10" sqref="H10"/>
    </sheetView>
  </sheetViews>
  <sheetFormatPr defaultColWidth="11.42578125" defaultRowHeight="12.75" x14ac:dyDescent="0.2"/>
  <sheetData>
    <row r="1" spans="1:4" x14ac:dyDescent="0.2">
      <c r="A1" s="1"/>
      <c r="B1" s="68" t="s">
        <v>18</v>
      </c>
      <c r="C1" s="68"/>
      <c r="D1" s="68"/>
    </row>
    <row r="2" spans="1:4" x14ac:dyDescent="0.2">
      <c r="A2" s="1" t="s">
        <v>1</v>
      </c>
      <c r="B2" s="1">
        <v>0</v>
      </c>
      <c r="C2" s="1">
        <v>30</v>
      </c>
      <c r="D2" s="1">
        <v>60</v>
      </c>
    </row>
    <row r="3" spans="1:4" x14ac:dyDescent="0.2">
      <c r="A3" s="1">
        <v>1</v>
      </c>
      <c r="B3" s="1" t="s">
        <v>19</v>
      </c>
      <c r="C3" s="1" t="s">
        <v>20</v>
      </c>
      <c r="D3" s="1" t="s">
        <v>21</v>
      </c>
    </row>
    <row r="4" spans="1:4" x14ac:dyDescent="0.2">
      <c r="A4" s="1">
        <v>2</v>
      </c>
      <c r="B4" s="1" t="s">
        <v>21</v>
      </c>
      <c r="C4" s="1" t="s">
        <v>22</v>
      </c>
      <c r="D4" s="1" t="s">
        <v>20</v>
      </c>
    </row>
    <row r="5" spans="1:4" x14ac:dyDescent="0.2">
      <c r="A5" s="1">
        <v>3</v>
      </c>
      <c r="B5" s="1" t="s">
        <v>21</v>
      </c>
      <c r="C5" s="1" t="s">
        <v>20</v>
      </c>
      <c r="D5" s="1" t="s">
        <v>23</v>
      </c>
    </row>
  </sheetData>
  <mergeCells count="1">
    <mergeCell ref="B1:D1"/>
  </mergeCells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F2"/>
  <sheetViews>
    <sheetView workbookViewId="0">
      <selection activeCell="C2" sqref="C2"/>
    </sheetView>
  </sheetViews>
  <sheetFormatPr defaultColWidth="11.42578125" defaultRowHeight="12.75" x14ac:dyDescent="0.2"/>
  <sheetData>
    <row r="1" spans="1:6" x14ac:dyDescent="0.2">
      <c r="A1" t="s">
        <v>30</v>
      </c>
      <c r="B1">
        <v>0</v>
      </c>
      <c r="C1">
        <v>15</v>
      </c>
      <c r="D1">
        <v>30</v>
      </c>
      <c r="E1">
        <v>45</v>
      </c>
      <c r="F1">
        <v>60</v>
      </c>
    </row>
    <row r="2" spans="1:6" x14ac:dyDescent="0.2">
      <c r="A2" t="s">
        <v>31</v>
      </c>
      <c r="B2">
        <v>0.7</v>
      </c>
      <c r="C2" s="7">
        <v>1.1000000000000001</v>
      </c>
      <c r="D2" s="7">
        <v>1.4</v>
      </c>
      <c r="E2" s="7">
        <v>2.2000000000000002</v>
      </c>
      <c r="F2" s="7">
        <v>4.8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K31"/>
  <sheetViews>
    <sheetView workbookViewId="0">
      <selection activeCell="L17" sqref="L17"/>
    </sheetView>
  </sheetViews>
  <sheetFormatPr defaultColWidth="11.42578125" defaultRowHeight="12.75" x14ac:dyDescent="0.2"/>
  <cols>
    <col min="3" max="3" width="13.5703125" bestFit="1" customWidth="1"/>
    <col min="5" max="5" width="15.28515625" bestFit="1" customWidth="1"/>
    <col min="6" max="6" width="19.140625" bestFit="1" customWidth="1"/>
    <col min="10" max="10" width="18" bestFit="1" customWidth="1"/>
  </cols>
  <sheetData>
    <row r="1" spans="1:11" x14ac:dyDescent="0.2">
      <c r="F1" s="5"/>
      <c r="G1" s="17"/>
      <c r="H1" s="17"/>
      <c r="I1" s="17"/>
    </row>
    <row r="2" spans="1:11" x14ac:dyDescent="0.2">
      <c r="A2" s="1" t="s">
        <v>37</v>
      </c>
      <c r="B2" s="1" t="s">
        <v>1</v>
      </c>
      <c r="C2" s="1" t="s">
        <v>38</v>
      </c>
      <c r="D2" s="1" t="s">
        <v>34</v>
      </c>
      <c r="E2" s="1" t="s">
        <v>35</v>
      </c>
      <c r="F2" s="4" t="s">
        <v>36</v>
      </c>
      <c r="G2" s="11"/>
      <c r="H2" s="11"/>
      <c r="I2" s="11"/>
      <c r="J2" s="15"/>
      <c r="K2" s="10"/>
    </row>
    <row r="3" spans="1:11" x14ac:dyDescent="0.2">
      <c r="A3" s="1" t="s">
        <v>2</v>
      </c>
      <c r="B3" s="20" t="s">
        <v>53</v>
      </c>
      <c r="C3" s="2">
        <v>42716</v>
      </c>
      <c r="D3" s="3">
        <v>123</v>
      </c>
      <c r="E3" s="1">
        <v>50</v>
      </c>
      <c r="F3" s="1" t="str">
        <f>IF(D3&lt;E3,"Versorgungsengpass!",IF(AND(D3&gt;E3, D3&lt;E3*1.3),"Achtung bestellen!", "ok"))</f>
        <v>ok</v>
      </c>
      <c r="G3" s="10"/>
      <c r="H3" s="10"/>
      <c r="I3" s="10"/>
      <c r="J3" s="16"/>
      <c r="K3" s="10"/>
    </row>
    <row r="4" spans="1:11" x14ac:dyDescent="0.2">
      <c r="A4" s="1" t="s">
        <v>3</v>
      </c>
      <c r="B4" s="20" t="s">
        <v>53</v>
      </c>
      <c r="C4" s="2">
        <v>42741</v>
      </c>
      <c r="D4" s="3">
        <v>513</v>
      </c>
      <c r="E4" s="1">
        <v>500</v>
      </c>
      <c r="F4" s="1" t="str">
        <f t="shared" ref="F4:F14" si="0">IF(D4&lt;E4,"Versorgungsengpass!",IF(AND(D4&gt;E4, D4&lt;E4*1.3),"Achtung bestellen!", "ok"))</f>
        <v>Achtung bestellen!</v>
      </c>
      <c r="G4" s="10"/>
      <c r="H4" s="10"/>
      <c r="I4" s="10"/>
      <c r="J4" s="16"/>
      <c r="K4" s="10"/>
    </row>
    <row r="5" spans="1:11" x14ac:dyDescent="0.2">
      <c r="A5" s="4" t="s">
        <v>4</v>
      </c>
      <c r="B5" s="20" t="s">
        <v>54</v>
      </c>
      <c r="C5" s="2">
        <v>42738</v>
      </c>
      <c r="D5" s="3">
        <v>888</v>
      </c>
      <c r="E5" s="1">
        <v>1000</v>
      </c>
      <c r="F5" s="1" t="str">
        <f t="shared" si="0"/>
        <v>Versorgungsengpass!</v>
      </c>
      <c r="G5" s="10"/>
      <c r="H5" s="10"/>
      <c r="I5" s="10"/>
      <c r="J5" s="16"/>
      <c r="K5" s="10"/>
    </row>
    <row r="6" spans="1:11" x14ac:dyDescent="0.2">
      <c r="A6" s="4" t="s">
        <v>5</v>
      </c>
      <c r="B6" s="20" t="s">
        <v>54</v>
      </c>
      <c r="C6" s="2">
        <v>42735</v>
      </c>
      <c r="D6" s="3">
        <v>12</v>
      </c>
      <c r="E6" s="1">
        <v>50</v>
      </c>
      <c r="F6" s="1" t="str">
        <f t="shared" si="0"/>
        <v>Versorgungsengpass!</v>
      </c>
      <c r="G6" s="10"/>
      <c r="H6" s="10"/>
      <c r="I6" s="10"/>
      <c r="J6" s="16"/>
      <c r="K6" s="10"/>
    </row>
    <row r="7" spans="1:11" x14ac:dyDescent="0.2">
      <c r="A7" s="4" t="s">
        <v>6</v>
      </c>
      <c r="B7" s="20" t="s">
        <v>54</v>
      </c>
      <c r="C7" s="2">
        <v>42732</v>
      </c>
      <c r="D7" s="3">
        <v>9625</v>
      </c>
      <c r="E7" s="1">
        <v>5000</v>
      </c>
      <c r="F7" s="1" t="str">
        <f t="shared" si="0"/>
        <v>ok</v>
      </c>
      <c r="G7" s="10"/>
      <c r="H7" s="10"/>
      <c r="I7" s="10"/>
      <c r="J7" s="16"/>
      <c r="K7" s="10"/>
    </row>
    <row r="8" spans="1:11" x14ac:dyDescent="0.2">
      <c r="A8" s="4" t="s">
        <v>7</v>
      </c>
      <c r="B8" s="20" t="s">
        <v>55</v>
      </c>
      <c r="C8" s="2">
        <v>42712</v>
      </c>
      <c r="D8" s="3">
        <v>63</v>
      </c>
      <c r="E8" s="1">
        <v>100</v>
      </c>
      <c r="F8" s="1" t="str">
        <f t="shared" si="0"/>
        <v>Versorgungsengpass!</v>
      </c>
      <c r="G8" s="10"/>
      <c r="H8" s="10"/>
      <c r="I8" s="10"/>
      <c r="J8" s="16"/>
      <c r="K8" s="10"/>
    </row>
    <row r="9" spans="1:11" x14ac:dyDescent="0.2">
      <c r="A9" s="4" t="s">
        <v>8</v>
      </c>
      <c r="B9" s="20" t="s">
        <v>56</v>
      </c>
      <c r="C9" s="2">
        <v>42725</v>
      </c>
      <c r="D9" s="3">
        <v>7482</v>
      </c>
      <c r="E9" s="1">
        <v>5000</v>
      </c>
      <c r="F9" s="1" t="str">
        <f t="shared" si="0"/>
        <v>ok</v>
      </c>
      <c r="G9" s="10"/>
      <c r="H9" s="10"/>
      <c r="I9" s="10"/>
      <c r="J9" s="16"/>
      <c r="K9" s="10"/>
    </row>
    <row r="10" spans="1:11" x14ac:dyDescent="0.2">
      <c r="A10" s="4" t="s">
        <v>9</v>
      </c>
      <c r="B10" s="20" t="s">
        <v>56</v>
      </c>
      <c r="C10" s="2">
        <v>42727</v>
      </c>
      <c r="D10" s="3">
        <v>2584</v>
      </c>
      <c r="E10" s="1">
        <v>5000</v>
      </c>
      <c r="F10" s="1" t="str">
        <f t="shared" si="0"/>
        <v>Versorgungsengpass!</v>
      </c>
      <c r="G10" s="10"/>
      <c r="H10" s="10"/>
      <c r="I10" s="10"/>
      <c r="J10" s="16"/>
      <c r="K10" s="10"/>
    </row>
    <row r="11" spans="1:11" x14ac:dyDescent="0.2">
      <c r="A11" s="4" t="s">
        <v>10</v>
      </c>
      <c r="B11" s="20" t="s">
        <v>57</v>
      </c>
      <c r="C11" s="2">
        <v>42737</v>
      </c>
      <c r="D11" s="3">
        <v>543</v>
      </c>
      <c r="E11" s="1">
        <v>500</v>
      </c>
      <c r="F11" s="1" t="str">
        <f t="shared" si="0"/>
        <v>Achtung bestellen!</v>
      </c>
      <c r="G11" s="10"/>
      <c r="H11" s="10"/>
      <c r="I11" s="10"/>
      <c r="J11" s="16"/>
      <c r="K11" s="10"/>
    </row>
    <row r="12" spans="1:11" x14ac:dyDescent="0.2">
      <c r="A12" s="4" t="s">
        <v>11</v>
      </c>
      <c r="B12" s="20" t="s">
        <v>58</v>
      </c>
      <c r="C12" s="2">
        <v>42742</v>
      </c>
      <c r="D12" s="3">
        <v>758</v>
      </c>
      <c r="E12" s="1">
        <v>500</v>
      </c>
      <c r="F12" s="1" t="str">
        <f t="shared" si="0"/>
        <v>ok</v>
      </c>
      <c r="G12" s="10"/>
      <c r="H12" s="10"/>
      <c r="I12" s="10"/>
      <c r="J12" s="16"/>
      <c r="K12" s="10"/>
    </row>
    <row r="13" spans="1:11" x14ac:dyDescent="0.2">
      <c r="A13" s="4" t="s">
        <v>12</v>
      </c>
      <c r="B13" s="20" t="s">
        <v>59</v>
      </c>
      <c r="C13" s="2">
        <v>42741</v>
      </c>
      <c r="D13" s="3">
        <v>1258</v>
      </c>
      <c r="E13" s="1">
        <v>1000</v>
      </c>
      <c r="F13" s="1" t="str">
        <f t="shared" si="0"/>
        <v>Achtung bestellen!</v>
      </c>
      <c r="G13" s="10"/>
      <c r="H13" s="10"/>
      <c r="I13" s="10"/>
      <c r="J13" s="16"/>
      <c r="K13" s="10"/>
    </row>
    <row r="14" spans="1:11" x14ac:dyDescent="0.2">
      <c r="A14" s="4" t="s">
        <v>13</v>
      </c>
      <c r="B14" s="20" t="s">
        <v>60</v>
      </c>
      <c r="C14" s="2">
        <v>42738</v>
      </c>
      <c r="D14" s="3">
        <v>995</v>
      </c>
      <c r="E14" s="1">
        <v>1000</v>
      </c>
      <c r="F14" s="1" t="str">
        <f t="shared" si="0"/>
        <v>Versorgungsengpass!</v>
      </c>
      <c r="G14" s="10"/>
      <c r="H14" s="10"/>
      <c r="I14" s="10"/>
      <c r="J14" s="16"/>
      <c r="K14" s="10"/>
    </row>
    <row r="16" spans="1:11" x14ac:dyDescent="0.2">
      <c r="J16" s="9"/>
      <c r="K16" s="8"/>
    </row>
    <row r="17" spans="1:10" x14ac:dyDescent="0.2">
      <c r="A17" s="1" t="s">
        <v>1</v>
      </c>
      <c r="B17" s="1" t="s">
        <v>34</v>
      </c>
      <c r="C17" s="1" t="s">
        <v>34</v>
      </c>
      <c r="F17" s="10"/>
    </row>
    <row r="18" spans="1:10" x14ac:dyDescent="0.2">
      <c r="A18" s="20" t="str">
        <f>"=K1"</f>
        <v>=K1</v>
      </c>
      <c r="B18" s="1" t="s">
        <v>61</v>
      </c>
      <c r="C18" s="20" t="s">
        <v>62</v>
      </c>
      <c r="F18" s="10"/>
      <c r="G18" s="10"/>
      <c r="H18" s="10"/>
      <c r="I18" s="10"/>
      <c r="J18" s="10"/>
    </row>
    <row r="19" spans="1:10" x14ac:dyDescent="0.2">
      <c r="A19" s="20" t="str">
        <f>"=K2"</f>
        <v>=K2</v>
      </c>
      <c r="B19" s="1" t="s">
        <v>61</v>
      </c>
      <c r="C19" s="20" t="s">
        <v>62</v>
      </c>
      <c r="F19" s="10"/>
      <c r="G19" s="10"/>
      <c r="H19" s="10"/>
      <c r="I19" s="10"/>
      <c r="J19" s="10"/>
    </row>
    <row r="20" spans="1:10" x14ac:dyDescent="0.2">
      <c r="A20" s="10"/>
      <c r="B20" s="10"/>
      <c r="C20" s="10"/>
      <c r="D20" s="10"/>
      <c r="E20" s="10"/>
      <c r="F20" s="11"/>
      <c r="G20" s="10"/>
      <c r="H20" s="10"/>
      <c r="I20" s="10"/>
      <c r="J20" s="10"/>
    </row>
    <row r="21" spans="1:10" x14ac:dyDescent="0.2">
      <c r="A21" s="10"/>
      <c r="B21" s="10"/>
      <c r="C21" s="12"/>
      <c r="D21" s="13"/>
      <c r="E21" s="10"/>
      <c r="F21" s="10"/>
      <c r="G21" s="10"/>
      <c r="H21" s="10"/>
      <c r="I21" s="10"/>
      <c r="J21" s="10"/>
    </row>
    <row r="22" spans="1:10" x14ac:dyDescent="0.2">
      <c r="A22" s="1" t="s">
        <v>37</v>
      </c>
      <c r="B22" s="1" t="s">
        <v>1</v>
      </c>
      <c r="C22" s="1" t="s">
        <v>38</v>
      </c>
      <c r="D22" s="1" t="s">
        <v>34</v>
      </c>
      <c r="E22" s="1" t="s">
        <v>35</v>
      </c>
      <c r="F22" s="4" t="s">
        <v>36</v>
      </c>
      <c r="G22" s="10"/>
      <c r="H22" s="10"/>
      <c r="I22" s="10"/>
      <c r="J22" s="10"/>
    </row>
    <row r="23" spans="1:10" x14ac:dyDescent="0.2">
      <c r="A23" s="1" t="s">
        <v>2</v>
      </c>
      <c r="B23" s="20" t="s">
        <v>53</v>
      </c>
      <c r="C23" s="2">
        <v>42716</v>
      </c>
      <c r="D23" s="3">
        <v>123</v>
      </c>
      <c r="E23" s="1">
        <v>50</v>
      </c>
      <c r="F23" s="1" t="s">
        <v>63</v>
      </c>
      <c r="G23" s="10"/>
      <c r="H23" s="10"/>
      <c r="I23" s="10"/>
      <c r="J23" s="10"/>
    </row>
    <row r="24" spans="1:10" x14ac:dyDescent="0.2">
      <c r="A24" s="1" t="s">
        <v>3</v>
      </c>
      <c r="B24" s="20" t="s">
        <v>53</v>
      </c>
      <c r="C24" s="2">
        <v>42741</v>
      </c>
      <c r="D24" s="3">
        <v>513</v>
      </c>
      <c r="E24" s="1">
        <v>500</v>
      </c>
      <c r="F24" s="1" t="s">
        <v>64</v>
      </c>
      <c r="G24" s="10"/>
      <c r="H24" s="10"/>
      <c r="I24" s="10"/>
      <c r="J24" s="10"/>
    </row>
    <row r="25" spans="1:10" x14ac:dyDescent="0.2">
      <c r="A25" s="4" t="s">
        <v>4</v>
      </c>
      <c r="B25" s="20" t="s">
        <v>54</v>
      </c>
      <c r="C25" s="2">
        <v>42738</v>
      </c>
      <c r="D25" s="3">
        <v>888</v>
      </c>
      <c r="E25" s="1">
        <v>1000</v>
      </c>
      <c r="F25" s="1" t="s">
        <v>65</v>
      </c>
      <c r="G25" s="10"/>
      <c r="H25" s="10"/>
      <c r="I25" s="10"/>
      <c r="J25" s="14"/>
    </row>
    <row r="26" spans="1:10" x14ac:dyDescent="0.2">
      <c r="G26" s="10"/>
      <c r="H26" s="10"/>
      <c r="I26" s="10"/>
      <c r="J26" s="10"/>
    </row>
    <row r="27" spans="1:10" x14ac:dyDescent="0.2">
      <c r="A27" s="10"/>
      <c r="B27" s="10"/>
      <c r="C27" s="12"/>
      <c r="D27" s="13"/>
      <c r="E27" s="10"/>
      <c r="F27" s="10"/>
      <c r="G27" s="10"/>
      <c r="H27" s="10"/>
      <c r="I27" s="10"/>
      <c r="J27" s="10"/>
    </row>
    <row r="28" spans="1:10" x14ac:dyDescent="0.2">
      <c r="A28" s="11"/>
      <c r="B28" s="10"/>
      <c r="C28" s="12"/>
      <c r="D28" s="13"/>
      <c r="E28" s="10"/>
      <c r="F28" s="10"/>
      <c r="G28" s="10"/>
      <c r="H28" s="10"/>
      <c r="I28" s="10"/>
      <c r="J28" s="10"/>
    </row>
    <row r="29" spans="1:10" x14ac:dyDescent="0.2">
      <c r="A29" s="11"/>
      <c r="B29" s="10"/>
      <c r="C29" s="12"/>
      <c r="D29" s="13"/>
      <c r="E29" s="10"/>
      <c r="F29" s="10"/>
      <c r="G29" s="10"/>
      <c r="H29" s="10"/>
      <c r="I29" s="10"/>
      <c r="J29" s="10"/>
    </row>
    <row r="30" spans="1:10" x14ac:dyDescent="0.2">
      <c r="A30" s="11"/>
      <c r="B30" s="10"/>
      <c r="C30" s="12"/>
      <c r="D30" s="13"/>
      <c r="E30" s="10"/>
      <c r="F30" s="10"/>
      <c r="G30" s="10"/>
      <c r="H30" s="10"/>
      <c r="I30" s="10"/>
      <c r="J30" s="10"/>
    </row>
    <row r="31" spans="1:10" x14ac:dyDescent="0.2">
      <c r="A31" s="10"/>
      <c r="B31" s="10"/>
      <c r="C31" s="10"/>
      <c r="D31" s="10"/>
      <c r="E31" s="10"/>
      <c r="F31" s="10"/>
      <c r="G31" s="10"/>
      <c r="H31" s="10"/>
      <c r="I31" s="10"/>
      <c r="J31" s="10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C16"/>
  <sheetViews>
    <sheetView workbookViewId="0">
      <selection activeCell="Q14" sqref="Q14"/>
    </sheetView>
  </sheetViews>
  <sheetFormatPr defaultColWidth="11.42578125" defaultRowHeight="12.75" x14ac:dyDescent="0.2"/>
  <cols>
    <col min="1" max="1" width="19.28515625" style="21" customWidth="1"/>
    <col min="2" max="2" width="4.140625" style="21" customWidth="1"/>
    <col min="3" max="3" width="5.42578125" style="21" customWidth="1"/>
    <col min="4" max="4" width="19.85546875" style="21" customWidth="1"/>
    <col min="5" max="5" width="5.85546875" style="21" bestFit="1" customWidth="1"/>
    <col min="6" max="14" width="5.5703125" style="21" bestFit="1" customWidth="1"/>
    <col min="15" max="15" width="5.85546875" style="21" customWidth="1"/>
    <col min="16" max="29" width="5.5703125" style="21" bestFit="1" customWidth="1"/>
    <col min="30" max="16384" width="11.42578125" style="21"/>
  </cols>
  <sheetData>
    <row r="1" spans="1:29" ht="13.5" thickBot="1" x14ac:dyDescent="0.25">
      <c r="E1" s="69">
        <v>42879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1"/>
      <c r="Z1" s="55"/>
      <c r="AA1" s="55"/>
      <c r="AB1" s="55"/>
      <c r="AC1" s="55"/>
    </row>
    <row r="2" spans="1:29" ht="13.5" thickBot="1" x14ac:dyDescent="0.25">
      <c r="A2" s="54" t="s">
        <v>39</v>
      </c>
      <c r="E2" s="53">
        <v>0.54166666666666663</v>
      </c>
      <c r="F2" s="52">
        <f t="shared" ref="F2:Y2" si="0">E2+1/24/60*15</f>
        <v>0.55208333333333326</v>
      </c>
      <c r="G2" s="52">
        <f t="shared" si="0"/>
        <v>0.56249999999999989</v>
      </c>
      <c r="H2" s="52">
        <f t="shared" si="0"/>
        <v>0.57291666666666652</v>
      </c>
      <c r="I2" s="52">
        <f t="shared" si="0"/>
        <v>0.58333333333333315</v>
      </c>
      <c r="J2" s="52">
        <f t="shared" si="0"/>
        <v>0.59374999999999978</v>
      </c>
      <c r="K2" s="52">
        <f t="shared" si="0"/>
        <v>0.60416666666666641</v>
      </c>
      <c r="L2" s="52">
        <f t="shared" si="0"/>
        <v>0.61458333333333304</v>
      </c>
      <c r="M2" s="52">
        <f t="shared" si="0"/>
        <v>0.62499999999999967</v>
      </c>
      <c r="N2" s="52">
        <f t="shared" si="0"/>
        <v>0.6354166666666663</v>
      </c>
      <c r="O2" s="52">
        <f t="shared" si="0"/>
        <v>0.64583333333333293</v>
      </c>
      <c r="P2" s="52">
        <f t="shared" si="0"/>
        <v>0.65624999999999956</v>
      </c>
      <c r="Q2" s="52">
        <f t="shared" si="0"/>
        <v>0.66666666666666619</v>
      </c>
      <c r="R2" s="52">
        <f t="shared" si="0"/>
        <v>0.67708333333333282</v>
      </c>
      <c r="S2" s="52">
        <f t="shared" si="0"/>
        <v>0.68749999999999944</v>
      </c>
      <c r="T2" s="52">
        <f t="shared" si="0"/>
        <v>0.69791666666666607</v>
      </c>
      <c r="U2" s="52">
        <f t="shared" si="0"/>
        <v>0.7083333333333327</v>
      </c>
      <c r="V2" s="52">
        <f t="shared" si="0"/>
        <v>0.71874999999999933</v>
      </c>
      <c r="W2" s="52">
        <f t="shared" si="0"/>
        <v>0.72916666666666596</v>
      </c>
      <c r="X2" s="52">
        <f t="shared" si="0"/>
        <v>0.73958333333333259</v>
      </c>
      <c r="Y2" s="52">
        <f t="shared" si="0"/>
        <v>0.74999999999999922</v>
      </c>
      <c r="Z2" s="23"/>
      <c r="AA2" s="23"/>
      <c r="AB2" s="23"/>
      <c r="AC2" s="23"/>
    </row>
    <row r="3" spans="1:29" ht="13.5" thickBot="1" x14ac:dyDescent="0.25">
      <c r="A3" s="51">
        <v>42879.541666666664</v>
      </c>
      <c r="E3" s="40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8"/>
    </row>
    <row r="4" spans="1:29" ht="13.5" thickBot="1" x14ac:dyDescent="0.25">
      <c r="E4" s="50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8"/>
    </row>
    <row r="5" spans="1:29" x14ac:dyDescent="0.2">
      <c r="A5" s="47"/>
      <c r="B5" s="72" t="s">
        <v>40</v>
      </c>
      <c r="C5" s="73"/>
      <c r="D5" s="46" t="s">
        <v>41</v>
      </c>
      <c r="E5" s="45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3"/>
    </row>
    <row r="6" spans="1:29" ht="13.5" thickBot="1" x14ac:dyDescent="0.25">
      <c r="A6" s="29" t="s">
        <v>42</v>
      </c>
      <c r="B6" s="42" t="s">
        <v>43</v>
      </c>
      <c r="C6" s="42" t="s">
        <v>44</v>
      </c>
      <c r="D6" s="41"/>
      <c r="E6" s="40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8"/>
    </row>
    <row r="7" spans="1:29" ht="13.5" thickBot="1" x14ac:dyDescent="0.25">
      <c r="A7" s="37" t="s">
        <v>45</v>
      </c>
      <c r="B7" s="36">
        <v>2</v>
      </c>
      <c r="C7" s="35">
        <v>0</v>
      </c>
      <c r="D7" s="34">
        <f>$A$3+B7/24+C7/60/24</f>
        <v>42879.625</v>
      </c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</row>
    <row r="8" spans="1:29" ht="13.5" thickBot="1" x14ac:dyDescent="0.25">
      <c r="A8" s="32" t="s">
        <v>46</v>
      </c>
      <c r="B8" s="31">
        <v>2</v>
      </c>
      <c r="C8" s="30">
        <v>45</v>
      </c>
      <c r="D8" s="34">
        <f t="shared" ref="D8:D10" si="1">$A$3+B8/24+C8/60/24</f>
        <v>42879.65625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</row>
    <row r="9" spans="1:29" ht="13.5" thickBot="1" x14ac:dyDescent="0.25">
      <c r="A9" s="32" t="s">
        <v>47</v>
      </c>
      <c r="B9" s="31">
        <v>3</v>
      </c>
      <c r="C9" s="30">
        <v>30</v>
      </c>
      <c r="D9" s="34">
        <f t="shared" si="1"/>
        <v>42879.6875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</row>
    <row r="10" spans="1:29" ht="13.5" thickBot="1" x14ac:dyDescent="0.25">
      <c r="A10" s="29" t="s">
        <v>48</v>
      </c>
      <c r="B10" s="28">
        <v>2</v>
      </c>
      <c r="C10" s="27">
        <v>45</v>
      </c>
      <c r="D10" s="34">
        <f t="shared" si="1"/>
        <v>42879.65625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</row>
    <row r="12" spans="1:29" x14ac:dyDescent="0.2">
      <c r="A12" s="26"/>
    </row>
    <row r="13" spans="1:29" x14ac:dyDescent="0.2">
      <c r="A13" s="25"/>
    </row>
    <row r="14" spans="1:29" x14ac:dyDescent="0.2">
      <c r="D14" s="24"/>
      <c r="E14" s="23"/>
    </row>
    <row r="16" spans="1:29" x14ac:dyDescent="0.2">
      <c r="O16" s="22"/>
    </row>
  </sheetData>
  <mergeCells count="2">
    <mergeCell ref="E1:Y1"/>
    <mergeCell ref="B5:C5"/>
  </mergeCells>
  <conditionalFormatting sqref="E7:Y10">
    <cfRule type="expression" dxfId="16" priority="1">
      <formula>E$2&lt;=$D7-DATE(2017,5,24)</formula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H16"/>
  <sheetViews>
    <sheetView workbookViewId="0">
      <selection activeCell="E27" sqref="E27"/>
    </sheetView>
  </sheetViews>
  <sheetFormatPr defaultColWidth="11.42578125" defaultRowHeight="12.75" x14ac:dyDescent="0.2"/>
  <cols>
    <col min="1" max="1" width="17.5703125" bestFit="1" customWidth="1"/>
    <col min="2" max="2" width="25.85546875" customWidth="1"/>
    <col min="3" max="3" width="22.140625" bestFit="1" customWidth="1"/>
    <col min="4" max="4" width="21" bestFit="1" customWidth="1"/>
    <col min="5" max="5" width="15.42578125" bestFit="1" customWidth="1"/>
  </cols>
  <sheetData>
    <row r="1" spans="1:8" x14ac:dyDescent="0.2">
      <c r="A1" s="59" t="s">
        <v>69</v>
      </c>
      <c r="B1" s="59" t="s">
        <v>67</v>
      </c>
      <c r="C1" s="59" t="s">
        <v>70</v>
      </c>
      <c r="H1" s="59"/>
    </row>
    <row r="2" spans="1:8" x14ac:dyDescent="0.2">
      <c r="A2">
        <v>5</v>
      </c>
      <c r="B2" s="62">
        <v>77</v>
      </c>
      <c r="C2">
        <f>A2*B2</f>
        <v>385</v>
      </c>
      <c r="H2" s="59"/>
    </row>
    <row r="3" spans="1:8" x14ac:dyDescent="0.2">
      <c r="A3">
        <v>7</v>
      </c>
      <c r="B3" s="62">
        <v>55</v>
      </c>
      <c r="C3">
        <f t="shared" ref="C3:C4" si="0">A3*B3</f>
        <v>385</v>
      </c>
    </row>
    <row r="4" spans="1:8" x14ac:dyDescent="0.2">
      <c r="A4">
        <v>11</v>
      </c>
      <c r="B4" s="62">
        <v>35</v>
      </c>
      <c r="C4">
        <f t="shared" si="0"/>
        <v>385</v>
      </c>
    </row>
    <row r="6" spans="1:8" x14ac:dyDescent="0.2">
      <c r="C6" s="59" t="s">
        <v>68</v>
      </c>
      <c r="D6" s="59" t="s">
        <v>71</v>
      </c>
    </row>
    <row r="7" spans="1:8" x14ac:dyDescent="0.2">
      <c r="C7" s="56">
        <f>MAX(C2:C4)</f>
        <v>385</v>
      </c>
      <c r="D7" s="56">
        <f>MAX(C2:C4)-MIN(C2:C4)</f>
        <v>0</v>
      </c>
    </row>
    <row r="9" spans="1:8" x14ac:dyDescent="0.2">
      <c r="C9" s="59" t="s">
        <v>66</v>
      </c>
    </row>
    <row r="10" spans="1:8" x14ac:dyDescent="0.2">
      <c r="C10" s="61">
        <v>41417.75</v>
      </c>
    </row>
    <row r="12" spans="1:8" x14ac:dyDescent="0.2">
      <c r="C12" s="59" t="s">
        <v>73</v>
      </c>
      <c r="D12" s="63" t="s">
        <v>72</v>
      </c>
    </row>
    <row r="13" spans="1:8" x14ac:dyDescent="0.2">
      <c r="C13" s="61">
        <f>MAX(C2:C4)/24+C10</f>
        <v>41433.791666666664</v>
      </c>
      <c r="D13" s="64">
        <f>MIN(C16,C13)</f>
        <v>41424.75</v>
      </c>
    </row>
    <row r="15" spans="1:8" x14ac:dyDescent="0.2">
      <c r="C15" s="59" t="s">
        <v>74</v>
      </c>
    </row>
    <row r="16" spans="1:8" x14ac:dyDescent="0.2">
      <c r="C16" s="61">
        <f>C10+7</f>
        <v>41424.75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Artikel</vt:lpstr>
      <vt:lpstr>Einstufung</vt:lpstr>
      <vt:lpstr>Lagerkosten</vt:lpstr>
      <vt:lpstr>Artikel_Filter</vt:lpstr>
      <vt:lpstr>Testprojekt</vt:lpstr>
      <vt:lpstr>Solver</vt:lpstr>
      <vt:lpstr>Artikel_Filter!Criteria</vt:lpstr>
      <vt:lpstr>Artikel_Filter!Extract</vt:lpstr>
    </vt:vector>
  </TitlesOfParts>
  <Company>Fachhochschule des bfi Wien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Moritz</cp:lastModifiedBy>
  <dcterms:created xsi:type="dcterms:W3CDTF">2009-01-07T11:11:27Z</dcterms:created>
  <dcterms:modified xsi:type="dcterms:W3CDTF">2017-05-24T11:54:11Z</dcterms:modified>
</cp:coreProperties>
</file>